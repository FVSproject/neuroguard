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2026-2027\NeuroGuard\"/>
    </mc:Choice>
  </mc:AlternateContent>
  <xr:revisionPtr revIDLastSave="0" documentId="13_ncr:1_{675D8637-1DD4-4FA5-898C-90778110E11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lectronics Cost Analy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1" l="1"/>
  <c r="F25" i="1"/>
  <c r="F24" i="1"/>
  <c r="F22" i="1"/>
  <c r="F21" i="1"/>
  <c r="F13" i="1"/>
  <c r="F12" i="1"/>
  <c r="F23" i="1"/>
  <c r="F11" i="1"/>
  <c r="F10" i="1"/>
  <c r="F9" i="1"/>
  <c r="F8" i="1"/>
  <c r="F7" i="1"/>
  <c r="F6" i="1"/>
  <c r="F20" i="1"/>
  <c r="F27" i="1" l="1"/>
  <c r="F15" i="1"/>
</calcChain>
</file>

<file path=xl/sharedStrings.xml><?xml version="1.0" encoding="utf-8"?>
<sst xmlns="http://schemas.openxmlformats.org/spreadsheetml/2006/main" count="53" uniqueCount="35">
  <si>
    <t>NeuroGuard — Electronics Cost Analysis</t>
  </si>
  <si>
    <t>Fab Lab Al-Ahsa | Prices as sourced by Yusuf Ali Atwa, July 2026</t>
  </si>
  <si>
    <t>#</t>
  </si>
  <si>
    <t>Component</t>
  </si>
  <si>
    <t>Module</t>
  </si>
  <si>
    <t>Listed price (SAR)</t>
  </si>
  <si>
    <t>VAT status</t>
  </si>
  <si>
    <t>Price incl. VAT (SAR)</t>
  </si>
  <si>
    <t>Seeed Studio XIAO ESP32-S3 (8MB flash)</t>
  </si>
  <si>
    <t>Processing hub (pacifier shield)</t>
  </si>
  <si>
    <t>Excl</t>
  </si>
  <si>
    <t>Camera / alert node</t>
  </si>
  <si>
    <t>Jumper wires M-F, 40pcs, 20cm</t>
  </si>
  <si>
    <t>General wiring</t>
  </si>
  <si>
    <t>Incl</t>
  </si>
  <si>
    <t>LiPo battery 3.7V 300mAh (502535)</t>
  </si>
  <si>
    <t>Smart pacifier (power)</t>
  </si>
  <si>
    <t>FSR402 force sensor</t>
  </si>
  <si>
    <t>Smart pacifier</t>
  </si>
  <si>
    <t>MAX30102 HR / SpO2 sensor module</t>
  </si>
  <si>
    <t>Foot + motion node</t>
  </si>
  <si>
    <t>ENS160 + AHT21 CO2/TVOC/temp/humidity</t>
  </si>
  <si>
    <t>GY-MAX4466 mic amplifier</t>
  </si>
  <si>
    <t>Foot + motion node (power)</t>
  </si>
  <si>
    <t>Active buzzer</t>
  </si>
  <si>
    <t>Grand total (incl. VAT)</t>
  </si>
  <si>
    <t>Subtotal by module (incl. VAT)</t>
  </si>
  <si>
    <t>Subtotal (SAR)</t>
  </si>
  <si>
    <t>Check (should match grand total)</t>
  </si>
  <si>
    <t>Notes:</t>
  </si>
  <si>
    <t>- Scope: electronics components only. 3D-printed/laser-cut enclosures, straps, and mounting hardware are Fab Lab stock and excluded from this sheet.</t>
  </si>
  <si>
    <t>- VAT (15%, Saudi Arabia) applied to items listed as 'Excl'. Items marked 'Incl' already include VAT as quoted by the supplier.</t>
  </si>
  <si>
    <t>- GY-MAX4466 mic amp VAT status was not confirmed at checkout; treated as Excl (conservative) pending confirmation.</t>
  </si>
  <si>
    <t>- Camera/alert node (XIAO ESP32-S3 Sense) is USB-powered — no separate battery required.</t>
  </si>
  <si>
    <t>- XIAO ESP32-S3 and XIAO ESP32-C3 boards have onboard LiPo charging circuits — no separate TP4056 modules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</si>
</sst>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name val="Arial"/>
      <charset val="1"/>
    </font>
    <font>
      <b/>
      <sz val="10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0" fillId="3" borderId="1" xfId="0" applyFill="1" applyBorder="1"/>
    <xf numFmtId="0" fontId="7" fillId="3" borderId="1" xfId="0" applyFont="1" applyFill="1" applyBorder="1"/>
    <xf numFmtId="4" fontId="7" fillId="3" borderId="1" xfId="0" applyNumberFormat="1" applyFont="1" applyFill="1" applyBorder="1"/>
    <xf numFmtId="0" fontId="7" fillId="0" borderId="0" xfId="0" applyFont="1"/>
    <xf numFmtId="0" fontId="3" fillId="2" borderId="1" xfId="0" applyFont="1" applyFill="1" applyBorder="1" applyAlignment="1">
      <alignment horizontal="center"/>
    </xf>
    <xf numFmtId="0" fontId="8" fillId="4" borderId="1" xfId="0" applyFont="1" applyFill="1" applyBorder="1"/>
    <xf numFmtId="0" fontId="9" fillId="0" borderId="0" xfId="0" applyFont="1"/>
    <xf numFmtId="4" fontId="9" fillId="0" borderId="0" xfId="0" applyNumberFormat="1" applyFont="1"/>
    <xf numFmtId="0" fontId="10" fillId="0" borderId="0" xfId="0" applyFo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4" fontId="5" fillId="5" borderId="1" xfId="0" applyNumberFormat="1" applyFont="1" applyFill="1" applyBorder="1"/>
    <xf numFmtId="4" fontId="6" fillId="5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4" fontId="5" fillId="6" borderId="1" xfId="0" applyNumberFormat="1" applyFont="1" applyFill="1" applyBorder="1"/>
    <xf numFmtId="4" fontId="6" fillId="6" borderId="1" xfId="0" applyNumberFormat="1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4" fontId="5" fillId="7" borderId="1" xfId="0" applyNumberFormat="1" applyFont="1" applyFill="1" applyBorder="1"/>
    <xf numFmtId="4" fontId="6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pane ySplit="4" topLeftCell="A5" activePane="bottomLeft" state="frozen"/>
      <selection pane="bottomLeft" activeCell="C19" sqref="C19"/>
    </sheetView>
  </sheetViews>
  <sheetFormatPr defaultColWidth="8.6640625" defaultRowHeight="14.4" x14ac:dyDescent="0.3"/>
  <cols>
    <col min="1" max="1" width="5" customWidth="1"/>
    <col min="2" max="2" width="42" customWidth="1"/>
    <col min="3" max="3" width="28" customWidth="1"/>
    <col min="4" max="4" width="16" customWidth="1"/>
    <col min="5" max="5" width="11" customWidth="1"/>
    <col min="6" max="6" width="18" customWidth="1"/>
  </cols>
  <sheetData>
    <row r="1" spans="1:6" ht="17.399999999999999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ht="26.4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15">
        <v>1</v>
      </c>
      <c r="B5" s="16" t="s">
        <v>8</v>
      </c>
      <c r="C5" s="16" t="s">
        <v>9</v>
      </c>
      <c r="D5" s="17">
        <v>68.02</v>
      </c>
      <c r="E5" s="15" t="s">
        <v>10</v>
      </c>
      <c r="F5" s="18">
        <v>230</v>
      </c>
    </row>
    <row r="6" spans="1:6" x14ac:dyDescent="0.3">
      <c r="A6" s="19">
        <v>3</v>
      </c>
      <c r="B6" s="20" t="s">
        <v>12</v>
      </c>
      <c r="C6" s="20" t="s">
        <v>13</v>
      </c>
      <c r="D6" s="21">
        <v>20</v>
      </c>
      <c r="E6" s="19" t="s">
        <v>14</v>
      </c>
      <c r="F6" s="22">
        <f t="shared" ref="F6:F13" si="0">IF(E6="Excl",D6*1.15,D6)</f>
        <v>20</v>
      </c>
    </row>
    <row r="7" spans="1:6" x14ac:dyDescent="0.3">
      <c r="A7" s="15">
        <v>4</v>
      </c>
      <c r="B7" s="16" t="s">
        <v>15</v>
      </c>
      <c r="C7" s="16" t="s">
        <v>16</v>
      </c>
      <c r="D7" s="17">
        <v>21</v>
      </c>
      <c r="E7" s="15" t="s">
        <v>14</v>
      </c>
      <c r="F7" s="18">
        <f t="shared" si="0"/>
        <v>21</v>
      </c>
    </row>
    <row r="8" spans="1:6" x14ac:dyDescent="0.3">
      <c r="A8" s="19">
        <v>5</v>
      </c>
      <c r="B8" s="20" t="s">
        <v>17</v>
      </c>
      <c r="C8" s="20" t="s">
        <v>18</v>
      </c>
      <c r="D8" s="21">
        <v>39</v>
      </c>
      <c r="E8" s="19" t="s">
        <v>14</v>
      </c>
      <c r="F8" s="22">
        <f t="shared" si="0"/>
        <v>39</v>
      </c>
    </row>
    <row r="9" spans="1:6" x14ac:dyDescent="0.3">
      <c r="A9" s="19">
        <v>6</v>
      </c>
      <c r="B9" s="20" t="s">
        <v>19</v>
      </c>
      <c r="C9" s="20" t="s">
        <v>20</v>
      </c>
      <c r="D9" s="21">
        <v>39</v>
      </c>
      <c r="E9" s="19" t="s">
        <v>14</v>
      </c>
      <c r="F9" s="22">
        <f t="shared" si="0"/>
        <v>39</v>
      </c>
    </row>
    <row r="10" spans="1:6" x14ac:dyDescent="0.3">
      <c r="A10" s="23">
        <v>7</v>
      </c>
      <c r="B10" s="24" t="s">
        <v>21</v>
      </c>
      <c r="C10" s="24" t="s">
        <v>18</v>
      </c>
      <c r="D10" s="25">
        <v>68.61</v>
      </c>
      <c r="E10" s="23" t="s">
        <v>10</v>
      </c>
      <c r="F10" s="26">
        <f t="shared" si="0"/>
        <v>78.901499999999999</v>
      </c>
    </row>
    <row r="11" spans="1:6" x14ac:dyDescent="0.3">
      <c r="A11" s="23">
        <v>9</v>
      </c>
      <c r="B11" s="24" t="s">
        <v>22</v>
      </c>
      <c r="C11" s="24" t="s">
        <v>18</v>
      </c>
      <c r="D11" s="25">
        <v>10.95</v>
      </c>
      <c r="E11" s="23" t="s">
        <v>10</v>
      </c>
      <c r="F11" s="26">
        <f t="shared" si="0"/>
        <v>12.592499999999998</v>
      </c>
    </row>
    <row r="12" spans="1:6" x14ac:dyDescent="0.3">
      <c r="A12" s="15">
        <v>11</v>
      </c>
      <c r="B12" s="16" t="s">
        <v>15</v>
      </c>
      <c r="C12" s="16" t="s">
        <v>23</v>
      </c>
      <c r="D12" s="17">
        <v>21</v>
      </c>
      <c r="E12" s="15" t="s">
        <v>14</v>
      </c>
      <c r="F12" s="18">
        <f t="shared" si="0"/>
        <v>21</v>
      </c>
    </row>
    <row r="13" spans="1:6" x14ac:dyDescent="0.3">
      <c r="A13" s="19">
        <v>12</v>
      </c>
      <c r="B13" s="20" t="s">
        <v>24</v>
      </c>
      <c r="C13" s="20" t="s">
        <v>11</v>
      </c>
      <c r="D13" s="21">
        <v>5</v>
      </c>
      <c r="E13" s="19" t="s">
        <v>14</v>
      </c>
      <c r="F13" s="22">
        <f t="shared" si="0"/>
        <v>5</v>
      </c>
    </row>
    <row r="15" spans="1:6" x14ac:dyDescent="0.3">
      <c r="A15" s="6"/>
      <c r="B15" s="7" t="s">
        <v>25</v>
      </c>
      <c r="C15" s="6"/>
      <c r="D15" s="6"/>
      <c r="E15" s="6"/>
      <c r="F15" s="8">
        <f>SUM(F5:F13)</f>
        <v>466.49399999999997</v>
      </c>
    </row>
    <row r="18" spans="1:6" x14ac:dyDescent="0.3">
      <c r="B18" s="9" t="s">
        <v>26</v>
      </c>
    </row>
    <row r="19" spans="1:6" x14ac:dyDescent="0.3">
      <c r="B19" s="10" t="s">
        <v>4</v>
      </c>
      <c r="F19" s="10" t="s">
        <v>27</v>
      </c>
    </row>
    <row r="20" spans="1:6" x14ac:dyDescent="0.3">
      <c r="B20" s="11" t="s">
        <v>9</v>
      </c>
      <c r="F20" s="5">
        <f>SUMIF($C$5:$C$13,B20,$F$5:$F$13)</f>
        <v>230</v>
      </c>
    </row>
    <row r="21" spans="1:6" x14ac:dyDescent="0.3">
      <c r="B21" s="11" t="s">
        <v>18</v>
      </c>
      <c r="F21" s="5">
        <f>SUMIF($C$5:$C$13,B21,$F$5:$F$13)</f>
        <v>130.494</v>
      </c>
    </row>
    <row r="22" spans="1:6" x14ac:dyDescent="0.3">
      <c r="B22" s="11" t="s">
        <v>16</v>
      </c>
      <c r="F22" s="5">
        <f>SUMIF($C$5:$C$13,B22,$F$5:$F$13)</f>
        <v>21</v>
      </c>
    </row>
    <row r="23" spans="1:6" x14ac:dyDescent="0.3">
      <c r="B23" s="11" t="s">
        <v>20</v>
      </c>
      <c r="F23" s="5">
        <f>SUMIF($C$5:$C$13,B23,$F$5:$F$13)</f>
        <v>39</v>
      </c>
    </row>
    <row r="24" spans="1:6" x14ac:dyDescent="0.3">
      <c r="B24" s="11" t="s">
        <v>23</v>
      </c>
      <c r="F24" s="5">
        <f>SUMIF($C$5:$C$13,B24,$F$5:$F$13)</f>
        <v>21</v>
      </c>
    </row>
    <row r="25" spans="1:6" x14ac:dyDescent="0.3">
      <c r="B25" s="11" t="s">
        <v>11</v>
      </c>
      <c r="F25" s="5">
        <f>SUMIF($C$5:$C$13,B25,$F$5:$F$13)</f>
        <v>5</v>
      </c>
    </row>
    <row r="26" spans="1:6" x14ac:dyDescent="0.3">
      <c r="B26" s="11" t="s">
        <v>13</v>
      </c>
      <c r="F26" s="5">
        <f>SUMIF($C$5:$C$13,B26,$F$5:$F$13)</f>
        <v>20</v>
      </c>
    </row>
    <row r="27" spans="1:6" x14ac:dyDescent="0.3">
      <c r="B27" s="12" t="s">
        <v>28</v>
      </c>
      <c r="F27" s="13">
        <f>SUM(F20:F26)</f>
        <v>466.49400000000003</v>
      </c>
    </row>
    <row r="30" spans="1:6" x14ac:dyDescent="0.3">
      <c r="A30" s="14" t="s">
        <v>29</v>
      </c>
    </row>
    <row r="31" spans="1:6" x14ac:dyDescent="0.3">
      <c r="A31" s="1" t="s">
        <v>30</v>
      </c>
      <c r="B31" s="1"/>
      <c r="C31" s="1"/>
      <c r="D31" s="1"/>
      <c r="E31" s="1"/>
      <c r="F31" s="1"/>
    </row>
    <row r="32" spans="1:6" x14ac:dyDescent="0.3">
      <c r="A32" s="1" t="s">
        <v>31</v>
      </c>
      <c r="B32" s="1"/>
      <c r="C32" s="1"/>
      <c r="D32" s="1"/>
      <c r="E32" s="1"/>
      <c r="F32" s="1"/>
    </row>
    <row r="33" spans="1:6" x14ac:dyDescent="0.3">
      <c r="A33" s="1" t="s">
        <v>32</v>
      </c>
      <c r="B33" s="1"/>
      <c r="C33" s="1"/>
      <c r="D33" s="1"/>
      <c r="E33" s="1"/>
      <c r="F33" s="1"/>
    </row>
    <row r="34" spans="1:6" x14ac:dyDescent="0.3">
      <c r="A34" s="1" t="s">
        <v>33</v>
      </c>
      <c r="B34" s="1"/>
      <c r="C34" s="1"/>
      <c r="D34" s="1"/>
      <c r="E34" s="1"/>
      <c r="F34" s="1"/>
    </row>
    <row r="35" spans="1:6" x14ac:dyDescent="0.3">
      <c r="A35" s="1" t="s">
        <v>34</v>
      </c>
      <c r="B35" s="1"/>
      <c r="C35" s="1"/>
      <c r="D35" s="1"/>
      <c r="E35" s="1"/>
      <c r="F35" s="1"/>
    </row>
  </sheetData>
  <mergeCells count="7">
    <mergeCell ref="A34:F34"/>
    <mergeCell ref="A35:F35"/>
    <mergeCell ref="A1:F1"/>
    <mergeCell ref="A2:F2"/>
    <mergeCell ref="A31:F31"/>
    <mergeCell ref="A32:F32"/>
    <mergeCell ref="A33:F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 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Yousef Ali</cp:lastModifiedBy>
  <cp:revision>0</cp:revision>
  <dcterms:created xsi:type="dcterms:W3CDTF">2026-07-03T00:51:49Z</dcterms:created>
  <dcterms:modified xsi:type="dcterms:W3CDTF">2026-08-26T18:21:40Z</dcterms:modified>
  <dc:language>en-US</dc:language>
</cp:coreProperties>
</file>